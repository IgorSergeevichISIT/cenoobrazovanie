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Исходные данные" sheetId="1" r:id="rId1"/>
    <sheet name="Задание 1 - Goal Seek" sheetId="2" r:id="rId2"/>
    <sheet name="Задание 2 - Таблица данных" sheetId="3" r:id="rId3"/>
    <sheet name="Задание 3 - Сценарии" sheetId="4" r:id="rId4"/>
    <sheet name="Теория" sheetId="5" r:id="rId5"/>
  </sheets>
  <calcPr calcId="124519" fullCalcOnLoad="1"/>
</workbook>
</file>

<file path=xl/sharedStrings.xml><?xml version="1.0" encoding="utf-8"?>
<sst xmlns="http://schemas.openxmlformats.org/spreadsheetml/2006/main" count="302" uniqueCount="218">
  <si>
    <t>ТОЧКА БЕЗУБЫТОЧНОСТИ И CVP-АНАЛИЗ</t>
  </si>
  <si>
    <t>ИСХОДНЫЕ ДАННЫЕ КОФЕЙНИ</t>
  </si>
  <si>
    <t>Параметр</t>
  </si>
  <si>
    <t>Цена за чашку кофе</t>
  </si>
  <si>
    <t>Переменные затраты на чашку</t>
  </si>
  <si>
    <t>Постоянные расходы (месяц)</t>
  </si>
  <si>
    <t>Объем продаж (план)</t>
  </si>
  <si>
    <t>РАСЧЕТНЫЕ ПОКАЗАТЕЛИ</t>
  </si>
  <si>
    <t>Показатель</t>
  </si>
  <si>
    <t>Маржинальная прибыль на ед.</t>
  </si>
  <si>
    <t>Коэффициент маржинальности</t>
  </si>
  <si>
    <t>Выручка</t>
  </si>
  <si>
    <t>Переменные затраты (всего)</t>
  </si>
  <si>
    <t>Маржинальная прибыль (всего)</t>
  </si>
  <si>
    <t>Прибыль (EBIT)</t>
  </si>
  <si>
    <t>ТОЧКА БЕЗУБЫТОЧНОСТИ</t>
  </si>
  <si>
    <t>BEP в единицах (шт.)</t>
  </si>
  <si>
    <t>BEP в деньгах (руб.)</t>
  </si>
  <si>
    <t>Запас финансовой прочности</t>
  </si>
  <si>
    <t>ПРИМЕЧАНИЕ:</t>
  </si>
  <si>
    <t>Используйте Подбор параметра (Goal Seek) для нахождения BEP</t>
  </si>
  <si>
    <t>Данные → Анализ что-если → Подбор параметра</t>
  </si>
  <si>
    <t>Значение</t>
  </si>
  <si>
    <t>200</t>
  </si>
  <si>
    <t>60</t>
  </si>
  <si>
    <t>300000</t>
  </si>
  <si>
    <t>5000</t>
  </si>
  <si>
    <t>Формула/Значение</t>
  </si>
  <si>
    <t>Формула</t>
  </si>
  <si>
    <t>Ед.изм.</t>
  </si>
  <si>
    <t>руб.</t>
  </si>
  <si>
    <t>шт.</t>
  </si>
  <si>
    <t>Результат</t>
  </si>
  <si>
    <t>140</t>
  </si>
  <si>
    <t>0.70</t>
  </si>
  <si>
    <t>1000000</t>
  </si>
  <si>
    <t>700000</t>
  </si>
  <si>
    <t>400000</t>
  </si>
  <si>
    <t>2143</t>
  </si>
  <si>
    <t>428571</t>
  </si>
  <si>
    <t>0.57</t>
  </si>
  <si>
    <t>Комментарий</t>
  </si>
  <si>
    <t>Розничная цена для клиента</t>
  </si>
  <si>
    <t>Зерно, молоко, стакан, крышка</t>
  </si>
  <si>
    <t>Аренда, зарплата, коммунальные</t>
  </si>
  <si>
    <t>Для расчета прибыли</t>
  </si>
  <si>
    <t>или 70%</t>
  </si>
  <si>
    <t>чашек/месяц</t>
  </si>
  <si>
    <t>руб./месяц</t>
  </si>
  <si>
    <t>или 57%</t>
  </si>
  <si>
    <t>ЛАБОРАТОРНАЯ РАБОТА №1</t>
  </si>
  <si>
    <t>Метод: Подбор параметра (Goal Seek)</t>
  </si>
  <si>
    <t>ВХОДНЫЕ ДАННЫЕ</t>
  </si>
  <si>
    <t>Цена за чашку</t>
  </si>
  <si>
    <t>Переменные затраты/шт</t>
  </si>
  <si>
    <t>Постоянные расходы</t>
  </si>
  <si>
    <t>Объем продаж (подбираем)</t>
  </si>
  <si>
    <t>РАСЧЕТЫ</t>
  </si>
  <si>
    <t>Переменные затраты</t>
  </si>
  <si>
    <t>Маржинальная прибыль</t>
  </si>
  <si>
    <t>ПРИБЫЛЬ (целевая = 0)</t>
  </si>
  <si>
    <t>ИНСТРУКЦИЯ:</t>
  </si>
  <si>
    <t>1. Выделите ячейку B14 (Прибыль)</t>
  </si>
  <si>
    <t>2. Данные → Анализ что-если → Подбор параметра</t>
  </si>
  <si>
    <t>3. Установить в ячейке: B14</t>
  </si>
  <si>
    <t>4. Значение: 0</t>
  </si>
  <si>
    <t>5. Изменяя ячейку: B8</t>
  </si>
  <si>
    <t>6. Нажмите ОК</t>
  </si>
  <si>
    <t>РЕЗУЛЬТАТ (после выполнения):</t>
  </si>
  <si>
    <t xml:space="preserve">Объем продаж для безубыточности = </t>
  </si>
  <si>
    <t>При таком объеме прибыль = 0</t>
  </si>
  <si>
    <t>1000</t>
  </si>
  <si>
    <t>200000</t>
  </si>
  <si>
    <t>60000</t>
  </si>
  <si>
    <t>140000</t>
  </si>
  <si>
    <t>-160000</t>
  </si>
  <si>
    <t>чашек</t>
  </si>
  <si>
    <t>← Эту ячейку будет изменять Goal Seek</t>
  </si>
  <si>
    <t>руб. ← Установите = 0 в Goal Seek</t>
  </si>
  <si>
    <t>ЗАДАНИЕ 1: ПОИСК ТОЧКИ БЕЗУБЫТОЧНОСТИ</t>
  </si>
  <si>
    <t>Метод: Таблица данных (Data Table)</t>
  </si>
  <si>
    <t>ВХОДНЫЕ ПАРАМЕТРЫ</t>
  </si>
  <si>
    <t>Цена</t>
  </si>
  <si>
    <t>Перем.затраты</t>
  </si>
  <si>
    <t>Пост.расходы</t>
  </si>
  <si>
    <t>Объем продаж</t>
  </si>
  <si>
    <t>ФОРМУЛА ПРИБЫЛИ</t>
  </si>
  <si>
    <t>Прибыль =</t>
  </si>
  <si>
    <t>ТАБЛИЦА ЧУВСТВИТЕЛЬНОСТИ (Цена vs Объем)</t>
  </si>
  <si>
    <t>Прибыль →</t>
  </si>
  <si>
    <t>Цена ↓</t>
  </si>
  <si>
    <t>150</t>
  </si>
  <si>
    <t>170</t>
  </si>
  <si>
    <t>190</t>
  </si>
  <si>
    <t>210</t>
  </si>
  <si>
    <t>230</t>
  </si>
  <si>
    <t>250</t>
  </si>
  <si>
    <t>ИНСТРУКЦИЯ ДЛЯ СОЗДАНИЯ ТАБЛИЦЫ:</t>
  </si>
  <si>
    <t>1. В ячейке B15 введите =B11 (ссылка на прибыль)</t>
  </si>
  <si>
    <t>2. В столбце A16:A22 введите цены (150, 170, 190...)</t>
  </si>
  <si>
    <t>3. В строке B15:H15 введите объемы (3000, 4000...)</t>
  </si>
  <si>
    <t>4. Выделите диапазон A15:H22</t>
  </si>
  <si>
    <t>5. Данные → Анализ что-если → Таблица данных</t>
  </si>
  <si>
    <t>6. Подставлять значения по строкам в: B8 (объем)</t>
  </si>
  <si>
    <t>7. Подставлять значения по столбцам в: B5 (цена)</t>
  </si>
  <si>
    <t>8. Нажмите ОК</t>
  </si>
  <si>
    <t>9. Примените условное форматирование (красный&lt;0, зеленый&gt;0)</t>
  </si>
  <si>
    <t>3000</t>
  </si>
  <si>
    <t>Объем продаж →</t>
  </si>
  <si>
    <t>-30000</t>
  </si>
  <si>
    <t>30000</t>
  </si>
  <si>
    <t>90000</t>
  </si>
  <si>
    <t>120000</t>
  </si>
  <si>
    <t>150000</t>
  </si>
  <si>
    <t>210000</t>
  </si>
  <si>
    <t>270000</t>
  </si>
  <si>
    <t>4000</t>
  </si>
  <si>
    <t>170000</t>
  </si>
  <si>
    <t>250000</t>
  </si>
  <si>
    <t>280000</t>
  </si>
  <si>
    <t>330000</t>
  </si>
  <si>
    <t>410000</t>
  </si>
  <si>
    <t>490000</t>
  </si>
  <si>
    <t>310000</t>
  </si>
  <si>
    <t>440000</t>
  </si>
  <si>
    <t>510000</t>
  </si>
  <si>
    <t>610000</t>
  </si>
  <si>
    <t>710000</t>
  </si>
  <si>
    <t>ЗАДАНИЕ 2: АНАЛИЗ ЧУВСТВИТЕЛЬНОСТИ</t>
  </si>
  <si>
    <t>БАЗОВЫЙ СЦЕНАРИЙ</t>
  </si>
  <si>
    <t>Прибыль</t>
  </si>
  <si>
    <t>СЦЕНАРИЙ 1: СНИЖЕНИЕ ЦЕН (акция -10%)</t>
  </si>
  <si>
    <t>Изменение прибыли</t>
  </si>
  <si>
    <t>СЦЕНАРИЙ 2: ПРЕМИУМ-ПОЗИЦИОНИРОВАНИЕ (+25%)</t>
  </si>
  <si>
    <t>СЦЕНАРИЙ 3: РОСТ АРЕНДЫ (кризис)</t>
  </si>
  <si>
    <t>ВЫВОДЫ:</t>
  </si>
  <si>
    <t>Лучший сценарий:</t>
  </si>
  <si>
    <t>Худший сценарий:</t>
  </si>
  <si>
    <t>Рекомендация:</t>
  </si>
  <si>
    <t>180</t>
  </si>
  <si>
    <t>6000</t>
  </si>
  <si>
    <t>Премиум (+15%)</t>
  </si>
  <si>
    <t>Рост аренды (-25%)</t>
  </si>
  <si>
    <t>Повысить воспринимаемую ценность продукта</t>
  </si>
  <si>
    <t>420000</t>
  </si>
  <si>
    <t>20000</t>
  </si>
  <si>
    <t>460000</t>
  </si>
  <si>
    <t>-100000</t>
  </si>
  <si>
    <t>+20% клиентов</t>
  </si>
  <si>
    <t>+5%</t>
  </si>
  <si>
    <t>-20% клиентов</t>
  </si>
  <si>
    <t>+15%</t>
  </si>
  <si>
    <t>+33%</t>
  </si>
  <si>
    <t>-25%</t>
  </si>
  <si>
    <t>ЗАДАНИЕ 3: АНАЛИЗ СЦЕНАРИЕВ</t>
  </si>
  <si>
    <t>1. ЧТО ТАКОЕ CVP-АНАЛИЗ?</t>
  </si>
  <si>
    <t>CVP (Cost-Volume-Profit) – метод анализа взаимосвязи:</t>
  </si>
  <si>
    <t>• Затрат (Cost)</t>
  </si>
  <si>
    <t>• Объема производства (Volume)</t>
  </si>
  <si>
    <t>• Прибыли (Profit)</t>
  </si>
  <si>
    <t>Цель: понять, как изменение цен, затрат и объемов влияет на прибыль</t>
  </si>
  <si>
    <t>2. КЛЮЧЕВЫЕ ОПРЕДЕЛЕНИЯ</t>
  </si>
  <si>
    <t>Термин</t>
  </si>
  <si>
    <t>Постоянные затраты (FC)</t>
  </si>
  <si>
    <t>Переменные затраты (VC)</t>
  </si>
  <si>
    <t>Маржинальная прибыль (CM)</t>
  </si>
  <si>
    <t>Точка безубыточности (BEP)</t>
  </si>
  <si>
    <t>Запас прочности (MOS)</t>
  </si>
  <si>
    <t>3. ФОРМУЛЫ</t>
  </si>
  <si>
    <t>Базовая формула прибыли:</t>
  </si>
  <si>
    <t>Прибыль = (Цена - VC) × Объем - FC</t>
  </si>
  <si>
    <t>или</t>
  </si>
  <si>
    <t>Прибыль = CM × Объем - FC</t>
  </si>
  <si>
    <t>Точка безубыточности в единицах:</t>
  </si>
  <si>
    <t>BEP (шт) = Постоянные затраты / Маржа на единицу</t>
  </si>
  <si>
    <t>Точка безубыточности в деньгах:</t>
  </si>
  <si>
    <t>BEP (руб) = Постоянные затраты / Коэффициент маржинальности</t>
  </si>
  <si>
    <t>4. ПРАКТИЧЕСКОЕ ПРИМЕНЕНИЕ</t>
  </si>
  <si>
    <t>CVP-анализ помогает ответить на вопросы:</t>
  </si>
  <si>
    <t>• Сколько нужно продать, чтобы выйти в ноль?</t>
  </si>
  <si>
    <t>• Какую скидку можем дать без убытка?</t>
  </si>
  <si>
    <t>• Что выгоднее: снизить цену или затраты?</t>
  </si>
  <si>
    <t>• Как изменится прибыль при росте аренды?</t>
  </si>
  <si>
    <t>• Стоит ли открывать новую точку?</t>
  </si>
  <si>
    <t>5. ГРАФИК БЕЗУБЫТОЧНОСТИ</t>
  </si>
  <si>
    <t>Описание осей:</t>
  </si>
  <si>
    <t>Ось X = Объем продаж (шт)</t>
  </si>
  <si>
    <t>Ось Y = Деньги (руб.)</t>
  </si>
  <si>
    <t>Линии на графике:</t>
  </si>
  <si>
    <t>1. Постоянные затраты (горизонтальная линия)</t>
  </si>
  <si>
    <t>2. Общие затраты (FC + VC, растет)</t>
  </si>
  <si>
    <t>3. Выручка (линия от нуля, растет быстрее)</t>
  </si>
  <si>
    <t>Точка пересечения Выручки и Общих затрат = BEP</t>
  </si>
  <si>
    <t>6. ОГРАНИЧЕНИЯ МЕТОДА</t>
  </si>
  <si>
    <t>CVP-анализ работает при допущениях:</t>
  </si>
  <si>
    <t>• Цена не зависит от объема (нет прогрессивных скидок)</t>
  </si>
  <si>
    <t>• Переменные затраты линейны</t>
  </si>
  <si>
    <t>• Ассортимент неизменен</t>
  </si>
  <si>
    <t>• Весь товар продается (нет остатков)</t>
  </si>
  <si>
    <t>В реальности: используйте сценарный анализ!</t>
  </si>
  <si>
    <t>7. ИСТОЧНИКИ</t>
  </si>
  <si>
    <t>• ACCA Global: CVP-анализ</t>
  </si>
  <si>
    <t>• CFin.ru: Анализ безубыточности</t>
  </si>
  <si>
    <t>• Netology: Contribution Margin</t>
  </si>
  <si>
    <t>Определение</t>
  </si>
  <si>
    <t>Расходы, не зависящие от объема производства</t>
  </si>
  <si>
    <t>Расходы на единицу продукции</t>
  </si>
  <si>
    <t>Разница между ценой и переменными затратами</t>
  </si>
  <si>
    <t>Доля маржи в цене (в %)</t>
  </si>
  <si>
    <t>Объем продаж при нулевой прибыли</t>
  </si>
  <si>
    <t>На сколько можно снизить продажи до убытка</t>
  </si>
  <si>
    <t>Аренда + Зарплата + ...</t>
  </si>
  <si>
    <t>Сырье + Упаковка + ...</t>
  </si>
  <si>
    <t>CM = Цена - VC</t>
  </si>
  <si>
    <t>CM Ratio = CM / Цена</t>
  </si>
  <si>
    <t>BEP = FC / CM</t>
  </si>
  <si>
    <t>MOS = (Q - BEP) / Q</t>
  </si>
  <si>
    <t>ТЕОРЕТИЧЕСКИЕ ОСНОВЫ CVP-АНАЛИЗА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</si>
</sst>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1"/>
  <sheetViews>
    <sheetView tabSelected="1" workbookViewId="0"/>
  </sheetViews>
  <sheetFormatPr defaultRowHeight="15"/>
  <cols>
    <col min="1" max="1" width="50.7109375" customWidth="1"/>
    <col min="2" max="2" width="18.7109375" customWidth="1"/>
    <col min="3" max="3" width="11.7109375" customWidth="1"/>
    <col min="4" max="4" width="32.7109375" customWidth="1"/>
  </cols>
  <sheetData>
    <row r="1" spans="1:4">
      <c r="A1" t="s">
        <v>50</v>
      </c>
    </row>
    <row r="2" spans="1:4">
      <c r="A2" t="s">
        <v>0</v>
      </c>
    </row>
    <row r="4" spans="1:4">
      <c r="A4" t="s">
        <v>1</v>
      </c>
    </row>
    <row r="6" spans="1:4">
      <c r="A6" t="s">
        <v>2</v>
      </c>
      <c r="B6" t="s">
        <v>22</v>
      </c>
      <c r="C6" t="s">
        <v>29</v>
      </c>
      <c r="D6" t="s">
        <v>41</v>
      </c>
    </row>
    <row r="7" spans="1:4">
      <c r="A7" t="s">
        <v>3</v>
      </c>
      <c r="B7" t="s">
        <v>23</v>
      </c>
      <c r="C7" t="s">
        <v>30</v>
      </c>
      <c r="D7" t="s">
        <v>42</v>
      </c>
    </row>
    <row r="8" spans="1:4">
      <c r="A8" t="s">
        <v>4</v>
      </c>
      <c r="B8" t="s">
        <v>24</v>
      </c>
      <c r="C8" t="s">
        <v>30</v>
      </c>
      <c r="D8" t="s">
        <v>43</v>
      </c>
    </row>
    <row r="9" spans="1:4">
      <c r="A9" t="s">
        <v>5</v>
      </c>
      <c r="B9" t="s">
        <v>25</v>
      </c>
      <c r="C9" t="s">
        <v>30</v>
      </c>
      <c r="D9" t="s">
        <v>44</v>
      </c>
    </row>
    <row r="10" spans="1:4">
      <c r="A10" t="s">
        <v>6</v>
      </c>
      <c r="B10" t="s">
        <v>26</v>
      </c>
      <c r="C10" t="s">
        <v>31</v>
      </c>
      <c r="D10" t="s">
        <v>45</v>
      </c>
    </row>
    <row r="12" spans="1:4">
      <c r="A12" t="s">
        <v>7</v>
      </c>
    </row>
    <row r="14" spans="1:4">
      <c r="A14" t="s">
        <v>8</v>
      </c>
      <c r="B14" t="s">
        <v>27</v>
      </c>
      <c r="C14" t="s">
        <v>32</v>
      </c>
    </row>
    <row r="15" spans="1:4">
      <c r="A15" t="s">
        <v>9</v>
      </c>
      <c r="B15">
        <f>B7-B8</f>
        <v>0</v>
      </c>
      <c r="C15" t="s">
        <v>33</v>
      </c>
      <c r="D15" t="s">
        <v>30</v>
      </c>
    </row>
    <row r="16" spans="1:4">
      <c r="A16" t="s">
        <v>10</v>
      </c>
      <c r="B16">
        <f>B15/B7</f>
        <v>0</v>
      </c>
      <c r="C16" t="s">
        <v>34</v>
      </c>
      <c r="D16" t="s">
        <v>46</v>
      </c>
    </row>
    <row r="17" spans="1:4">
      <c r="A17" t="s">
        <v>11</v>
      </c>
      <c r="B17">
        <f>B7*B10</f>
        <v>0</v>
      </c>
      <c r="C17" t="s">
        <v>35</v>
      </c>
      <c r="D17" t="s">
        <v>30</v>
      </c>
    </row>
    <row r="18" spans="1:4">
      <c r="A18" t="s">
        <v>12</v>
      </c>
      <c r="B18">
        <f>B8*B10</f>
        <v>0</v>
      </c>
      <c r="C18" t="s">
        <v>25</v>
      </c>
      <c r="D18" t="s">
        <v>30</v>
      </c>
    </row>
    <row r="19" spans="1:4">
      <c r="A19" t="s">
        <v>13</v>
      </c>
      <c r="B19">
        <f>B17-B18</f>
        <v>0</v>
      </c>
      <c r="C19" t="s">
        <v>36</v>
      </c>
      <c r="D19" t="s">
        <v>30</v>
      </c>
    </row>
    <row r="20" spans="1:4">
      <c r="A20" t="s">
        <v>14</v>
      </c>
      <c r="B20">
        <f>B19-B9</f>
        <v>0</v>
      </c>
      <c r="C20" t="s">
        <v>37</v>
      </c>
      <c r="D20" t="s">
        <v>30</v>
      </c>
    </row>
    <row r="22" spans="1:4">
      <c r="A22" t="s">
        <v>15</v>
      </c>
    </row>
    <row r="24" spans="1:4">
      <c r="A24" t="s">
        <v>8</v>
      </c>
      <c r="B24" t="s">
        <v>28</v>
      </c>
      <c r="C24" t="s">
        <v>32</v>
      </c>
    </row>
    <row r="25" spans="1:4">
      <c r="A25" t="s">
        <v>16</v>
      </c>
      <c r="B25">
        <f>B9/B15</f>
        <v>0</v>
      </c>
      <c r="C25" t="s">
        <v>38</v>
      </c>
      <c r="D25" t="s">
        <v>47</v>
      </c>
    </row>
    <row r="26" spans="1:4">
      <c r="A26" t="s">
        <v>17</v>
      </c>
      <c r="B26">
        <f>B25*B7</f>
        <v>0</v>
      </c>
      <c r="C26" t="s">
        <v>39</v>
      </c>
      <c r="D26" t="s">
        <v>48</v>
      </c>
    </row>
    <row r="27" spans="1:4">
      <c r="A27" t="s">
        <v>18</v>
      </c>
      <c r="B27">
        <f>(B10-B25)/B10</f>
        <v>0</v>
      </c>
      <c r="C27" t="s">
        <v>40</v>
      </c>
      <c r="D27" t="s">
        <v>49</v>
      </c>
    </row>
    <row r="29" spans="1:4">
      <c r="A29" t="s">
        <v>19</v>
      </c>
    </row>
    <row r="30" spans="1:4">
      <c r="A30" t="s">
        <v>20</v>
      </c>
    </row>
    <row r="31" spans="1:4">
      <c r="A31" t="s">
        <v>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6"/>
  <sheetViews>
    <sheetView workbookViewId="0"/>
  </sheetViews>
  <sheetFormatPr defaultRowHeight="15"/>
  <cols>
    <col min="1" max="1" width="48.7109375" customWidth="1"/>
    <col min="2" max="2" width="10.7109375" customWidth="1"/>
    <col min="3" max="3" width="9.7109375" customWidth="1"/>
    <col min="4" max="4" width="39.7109375" customWidth="1"/>
  </cols>
  <sheetData>
    <row r="1" spans="1:4">
      <c r="A1" t="s">
        <v>79</v>
      </c>
    </row>
    <row r="2" spans="1:4">
      <c r="A2" t="s">
        <v>51</v>
      </c>
    </row>
    <row r="4" spans="1:4">
      <c r="A4" t="s">
        <v>52</v>
      </c>
    </row>
    <row r="5" spans="1:4">
      <c r="A5" t="s">
        <v>53</v>
      </c>
      <c r="B5" t="s">
        <v>23</v>
      </c>
      <c r="C5" t="s">
        <v>30</v>
      </c>
    </row>
    <row r="6" spans="1:4">
      <c r="A6" t="s">
        <v>54</v>
      </c>
      <c r="B6" t="s">
        <v>24</v>
      </c>
      <c r="C6" t="s">
        <v>30</v>
      </c>
    </row>
    <row r="7" spans="1:4">
      <c r="A7" t="s">
        <v>55</v>
      </c>
      <c r="B7" t="s">
        <v>25</v>
      </c>
      <c r="C7" t="s">
        <v>30</v>
      </c>
    </row>
    <row r="8" spans="1:4">
      <c r="A8" t="s">
        <v>56</v>
      </c>
      <c r="B8" t="s">
        <v>71</v>
      </c>
      <c r="C8" t="s">
        <v>31</v>
      </c>
      <c r="D8" t="s">
        <v>77</v>
      </c>
    </row>
    <row r="10" spans="1:4">
      <c r="A10" t="s">
        <v>57</v>
      </c>
    </row>
    <row r="11" spans="1:4">
      <c r="A11" t="s">
        <v>11</v>
      </c>
      <c r="B11">
        <f>B5*B8</f>
        <v>0</v>
      </c>
      <c r="C11" t="s">
        <v>72</v>
      </c>
      <c r="D11" t="s">
        <v>30</v>
      </c>
    </row>
    <row r="12" spans="1:4">
      <c r="A12" t="s">
        <v>58</v>
      </c>
      <c r="B12">
        <f>B6*B8</f>
        <v>0</v>
      </c>
      <c r="C12" t="s">
        <v>73</v>
      </c>
      <c r="D12" t="s">
        <v>30</v>
      </c>
    </row>
    <row r="13" spans="1:4">
      <c r="A13" t="s">
        <v>59</v>
      </c>
      <c r="B13">
        <f>B11-B12</f>
        <v>0</v>
      </c>
      <c r="C13" t="s">
        <v>74</v>
      </c>
      <c r="D13" t="s">
        <v>30</v>
      </c>
    </row>
    <row r="14" spans="1:4">
      <c r="A14" t="s">
        <v>60</v>
      </c>
      <c r="B14">
        <f>B13-B7</f>
        <v>0</v>
      </c>
      <c r="C14" t="s">
        <v>75</v>
      </c>
      <c r="D14" t="s">
        <v>78</v>
      </c>
    </row>
    <row r="16" spans="1:4">
      <c r="A16" t="s">
        <v>61</v>
      </c>
    </row>
    <row r="17" spans="1:3">
      <c r="A17" t="s">
        <v>62</v>
      </c>
    </row>
    <row r="18" spans="1:3">
      <c r="A18" t="s">
        <v>63</v>
      </c>
    </row>
    <row r="19" spans="1:3">
      <c r="A19" t="s">
        <v>64</v>
      </c>
    </row>
    <row r="20" spans="1:3">
      <c r="A20" t="s">
        <v>65</v>
      </c>
    </row>
    <row r="21" spans="1:3">
      <c r="A21" t="s">
        <v>66</v>
      </c>
    </row>
    <row r="22" spans="1:3">
      <c r="A22" t="s">
        <v>67</v>
      </c>
    </row>
    <row r="24" spans="1:3">
      <c r="A24" t="s">
        <v>68</v>
      </c>
    </row>
    <row r="25" spans="1:3">
      <c r="A25" t="s">
        <v>69</v>
      </c>
      <c r="B25" t="s">
        <v>38</v>
      </c>
      <c r="C25" t="s">
        <v>76</v>
      </c>
    </row>
    <row r="26" spans="1:3">
      <c r="A26" t="s">
        <v>70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34"/>
  <sheetViews>
    <sheetView workbookViewId="0"/>
  </sheetViews>
  <sheetFormatPr defaultRowHeight="15"/>
  <cols>
    <col min="1" max="1" width="50.7109375" customWidth="1"/>
    <col min="2" max="2" width="16.7109375" customWidth="1"/>
    <col min="3" max="4" width="8.7109375" customWidth="1"/>
    <col min="5" max="5" width="10.7109375" customWidth="1"/>
    <col min="6" max="7" width="11.7109375" customWidth="1"/>
  </cols>
  <sheetData>
    <row r="1" spans="1:7">
      <c r="A1" t="s">
        <v>128</v>
      </c>
    </row>
    <row r="2" spans="1:7">
      <c r="A2" t="s">
        <v>80</v>
      </c>
    </row>
    <row r="4" spans="1:7">
      <c r="A4" t="s">
        <v>81</v>
      </c>
    </row>
    <row r="5" spans="1:7">
      <c r="A5" t="s">
        <v>82</v>
      </c>
      <c r="B5" t="s">
        <v>23</v>
      </c>
      <c r="C5" t="s">
        <v>30</v>
      </c>
    </row>
    <row r="6" spans="1:7">
      <c r="A6" t="s">
        <v>83</v>
      </c>
      <c r="B6" t="s">
        <v>24</v>
      </c>
      <c r="C6" t="s">
        <v>30</v>
      </c>
    </row>
    <row r="7" spans="1:7">
      <c r="A7" t="s">
        <v>84</v>
      </c>
      <c r="B7" t="s">
        <v>25</v>
      </c>
      <c r="C7" t="s">
        <v>30</v>
      </c>
    </row>
    <row r="8" spans="1:7">
      <c r="A8" t="s">
        <v>85</v>
      </c>
      <c r="B8" t="s">
        <v>26</v>
      </c>
      <c r="C8" t="s">
        <v>31</v>
      </c>
    </row>
    <row r="10" spans="1:7">
      <c r="A10" t="s">
        <v>86</v>
      </c>
    </row>
    <row r="11" spans="1:7">
      <c r="A11" t="s">
        <v>87</v>
      </c>
      <c r="B11">
        <f>(B5-B6)*B8-B7</f>
        <v>0</v>
      </c>
      <c r="C11" t="s">
        <v>37</v>
      </c>
      <c r="D11" t="s">
        <v>30</v>
      </c>
    </row>
    <row r="13" spans="1:7">
      <c r="A13" t="s">
        <v>88</v>
      </c>
    </row>
    <row r="15" spans="1:7">
      <c r="A15" t="s">
        <v>89</v>
      </c>
      <c r="B15" t="s">
        <v>107</v>
      </c>
      <c r="C15" t="s">
        <v>116</v>
      </c>
      <c r="D15" t="s">
        <v>26</v>
      </c>
      <c r="E15">
        <v>6000</v>
      </c>
      <c r="F15">
        <v>7000</v>
      </c>
      <c r="G15">
        <v>8000</v>
      </c>
    </row>
    <row r="16" spans="1:7">
      <c r="A16" t="s">
        <v>90</v>
      </c>
      <c r="B16" t="s">
        <v>108</v>
      </c>
    </row>
    <row r="17" spans="1:7">
      <c r="A17" t="s">
        <v>91</v>
      </c>
      <c r="B17" t="s">
        <v>109</v>
      </c>
      <c r="C17" t="s">
        <v>111</v>
      </c>
      <c r="D17" t="s">
        <v>114</v>
      </c>
      <c r="E17">
        <v>330000</v>
      </c>
      <c r="F17">
        <v>450000</v>
      </c>
      <c r="G17">
        <v>570000</v>
      </c>
    </row>
    <row r="18" spans="1:7">
      <c r="A18" t="s">
        <v>92</v>
      </c>
      <c r="B18" t="s">
        <v>110</v>
      </c>
      <c r="C18" t="s">
        <v>117</v>
      </c>
      <c r="D18" t="s">
        <v>123</v>
      </c>
      <c r="E18">
        <v>450000</v>
      </c>
      <c r="F18">
        <v>590000</v>
      </c>
      <c r="G18">
        <v>730000</v>
      </c>
    </row>
    <row r="19" spans="1:7">
      <c r="A19" t="s">
        <v>93</v>
      </c>
      <c r="B19" t="s">
        <v>111</v>
      </c>
      <c r="C19" t="s">
        <v>118</v>
      </c>
      <c r="D19" t="s">
        <v>121</v>
      </c>
      <c r="E19">
        <v>570000</v>
      </c>
      <c r="F19">
        <v>730000</v>
      </c>
      <c r="G19">
        <v>890000</v>
      </c>
    </row>
    <row r="20" spans="1:7">
      <c r="A20" t="s">
        <v>23</v>
      </c>
      <c r="B20" t="s">
        <v>112</v>
      </c>
      <c r="C20" t="s">
        <v>119</v>
      </c>
      <c r="D20" t="s">
        <v>124</v>
      </c>
      <c r="E20">
        <v>600000</v>
      </c>
      <c r="F20">
        <v>760000</v>
      </c>
      <c r="G20">
        <v>920000</v>
      </c>
    </row>
    <row r="21" spans="1:7">
      <c r="A21" t="s">
        <v>94</v>
      </c>
      <c r="B21" t="s">
        <v>113</v>
      </c>
      <c r="C21" t="s">
        <v>120</v>
      </c>
      <c r="D21" t="s">
        <v>125</v>
      </c>
      <c r="E21">
        <v>690000</v>
      </c>
      <c r="F21">
        <v>870000</v>
      </c>
      <c r="G21">
        <v>1050000</v>
      </c>
    </row>
    <row r="22" spans="1:7">
      <c r="A22" t="s">
        <v>95</v>
      </c>
      <c r="B22" t="s">
        <v>114</v>
      </c>
      <c r="C22" t="s">
        <v>121</v>
      </c>
      <c r="D22" t="s">
        <v>126</v>
      </c>
      <c r="E22">
        <v>810000</v>
      </c>
      <c r="F22">
        <v>1010000</v>
      </c>
      <c r="G22">
        <v>1210000</v>
      </c>
    </row>
    <row r="23" spans="1:7">
      <c r="A23" t="s">
        <v>96</v>
      </c>
      <c r="B23" t="s">
        <v>115</v>
      </c>
      <c r="C23" t="s">
        <v>122</v>
      </c>
      <c r="D23" t="s">
        <v>127</v>
      </c>
      <c r="E23">
        <v>930000</v>
      </c>
      <c r="F23">
        <v>1150000</v>
      </c>
      <c r="G23">
        <v>1370000</v>
      </c>
    </row>
    <row r="25" spans="1:7">
      <c r="A25" t="s">
        <v>97</v>
      </c>
    </row>
    <row r="26" spans="1:7">
      <c r="A26" t="s">
        <v>98</v>
      </c>
    </row>
    <row r="27" spans="1:7">
      <c r="A27" t="s">
        <v>99</v>
      </c>
    </row>
    <row r="28" spans="1:7">
      <c r="A28" t="s">
        <v>100</v>
      </c>
    </row>
    <row r="29" spans="1:7">
      <c r="A29" t="s">
        <v>101</v>
      </c>
    </row>
    <row r="30" spans="1:7">
      <c r="A30" t="s">
        <v>102</v>
      </c>
    </row>
    <row r="31" spans="1:7">
      <c r="A31" t="s">
        <v>103</v>
      </c>
    </row>
    <row r="32" spans="1:7">
      <c r="A32" t="s">
        <v>104</v>
      </c>
    </row>
    <row r="33" spans="1:1">
      <c r="A33" t="s">
        <v>105</v>
      </c>
    </row>
    <row r="34" spans="1:1">
      <c r="A34" t="s">
        <v>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4"/>
  <sheetViews>
    <sheetView workbookViewId="0"/>
  </sheetViews>
  <sheetFormatPr defaultRowHeight="15"/>
  <cols>
    <col min="1" max="1" width="45.7109375" customWidth="1"/>
    <col min="2" max="2" width="43.7109375" customWidth="1"/>
    <col min="3" max="3" width="9.7109375" customWidth="1"/>
    <col min="4" max="4" width="15.7109375" customWidth="1"/>
  </cols>
  <sheetData>
    <row r="1" spans="1:4">
      <c r="A1" t="s">
        <v>154</v>
      </c>
    </row>
    <row r="3" spans="1:4">
      <c r="A3" t="s">
        <v>129</v>
      </c>
    </row>
    <row r="4" spans="1:4">
      <c r="A4" t="s">
        <v>2</v>
      </c>
      <c r="B4" t="s">
        <v>22</v>
      </c>
    </row>
    <row r="5" spans="1:4">
      <c r="A5" t="s">
        <v>82</v>
      </c>
      <c r="B5" t="s">
        <v>23</v>
      </c>
      <c r="C5" t="s">
        <v>30</v>
      </c>
    </row>
    <row r="6" spans="1:4">
      <c r="A6" t="s">
        <v>85</v>
      </c>
      <c r="B6" t="s">
        <v>26</v>
      </c>
      <c r="C6" t="s">
        <v>31</v>
      </c>
    </row>
    <row r="7" spans="1:4">
      <c r="A7" t="s">
        <v>58</v>
      </c>
      <c r="B7" t="s">
        <v>24</v>
      </c>
      <c r="C7" t="s">
        <v>30</v>
      </c>
    </row>
    <row r="8" spans="1:4">
      <c r="A8" t="s">
        <v>55</v>
      </c>
      <c r="B8" t="s">
        <v>25</v>
      </c>
      <c r="C8" t="s">
        <v>30</v>
      </c>
    </row>
    <row r="10" spans="1:4">
      <c r="A10" t="s">
        <v>130</v>
      </c>
      <c r="B10">
        <f>($B$5-$B$7)*$B$6-$B$8</f>
        <v>0</v>
      </c>
      <c r="C10" t="s">
        <v>37</v>
      </c>
      <c r="D10" t="s">
        <v>30</v>
      </c>
    </row>
    <row r="12" spans="1:4">
      <c r="A12" t="s">
        <v>131</v>
      </c>
    </row>
    <row r="13" spans="1:4">
      <c r="A13" t="s">
        <v>82</v>
      </c>
      <c r="B13" t="s">
        <v>139</v>
      </c>
      <c r="C13" t="s">
        <v>30</v>
      </c>
    </row>
    <row r="14" spans="1:4">
      <c r="A14" t="s">
        <v>85</v>
      </c>
      <c r="B14" t="s">
        <v>140</v>
      </c>
      <c r="C14" t="s">
        <v>31</v>
      </c>
      <c r="D14" t="s">
        <v>148</v>
      </c>
    </row>
    <row r="15" spans="1:4">
      <c r="A15" t="s">
        <v>130</v>
      </c>
      <c r="B15">
        <f>(B13-$B$7)*B14-$B$8</f>
        <v>0</v>
      </c>
      <c r="C15" t="s">
        <v>144</v>
      </c>
      <c r="D15" t="s">
        <v>30</v>
      </c>
    </row>
    <row r="16" spans="1:4">
      <c r="A16" t="s">
        <v>132</v>
      </c>
      <c r="B16">
        <f>B15-B10</f>
        <v>0</v>
      </c>
      <c r="C16" t="s">
        <v>145</v>
      </c>
      <c r="D16" t="s">
        <v>149</v>
      </c>
    </row>
    <row r="18" spans="1:4">
      <c r="A18" t="s">
        <v>133</v>
      </c>
    </row>
    <row r="19" spans="1:4">
      <c r="A19" t="s">
        <v>82</v>
      </c>
      <c r="B19" t="s">
        <v>96</v>
      </c>
      <c r="C19" t="s">
        <v>30</v>
      </c>
    </row>
    <row r="20" spans="1:4">
      <c r="A20" t="s">
        <v>85</v>
      </c>
      <c r="B20" t="s">
        <v>116</v>
      </c>
      <c r="C20" t="s">
        <v>31</v>
      </c>
      <c r="D20" t="s">
        <v>150</v>
      </c>
    </row>
    <row r="21" spans="1:4">
      <c r="A21" t="s">
        <v>130</v>
      </c>
      <c r="B21">
        <f>(B19-$B$7)*B20-$B$8</f>
        <v>0</v>
      </c>
      <c r="C21" t="s">
        <v>146</v>
      </c>
      <c r="D21" t="s">
        <v>30</v>
      </c>
    </row>
    <row r="22" spans="1:4">
      <c r="A22" t="s">
        <v>132</v>
      </c>
      <c r="B22">
        <f>B21-B10</f>
        <v>0</v>
      </c>
      <c r="C22" t="s">
        <v>73</v>
      </c>
      <c r="D22" t="s">
        <v>151</v>
      </c>
    </row>
    <row r="24" spans="1:4">
      <c r="A24" t="s">
        <v>134</v>
      </c>
    </row>
    <row r="25" spans="1:4">
      <c r="A25" t="s">
        <v>82</v>
      </c>
      <c r="B25" t="s">
        <v>23</v>
      </c>
      <c r="C25" t="s">
        <v>30</v>
      </c>
    </row>
    <row r="26" spans="1:4">
      <c r="A26" t="s">
        <v>85</v>
      </c>
      <c r="B26" t="s">
        <v>26</v>
      </c>
      <c r="C26" t="s">
        <v>31</v>
      </c>
    </row>
    <row r="27" spans="1:4">
      <c r="A27" t="s">
        <v>55</v>
      </c>
      <c r="B27" t="s">
        <v>37</v>
      </c>
      <c r="C27" t="s">
        <v>30</v>
      </c>
      <c r="D27" t="s">
        <v>152</v>
      </c>
    </row>
    <row r="28" spans="1:4">
      <c r="A28" t="s">
        <v>130</v>
      </c>
      <c r="B28">
        <f>($B$5-$B$7)*B26-B27</f>
        <v>0</v>
      </c>
      <c r="C28" t="s">
        <v>25</v>
      </c>
      <c r="D28" t="s">
        <v>30</v>
      </c>
    </row>
    <row r="29" spans="1:4">
      <c r="A29" t="s">
        <v>132</v>
      </c>
      <c r="B29">
        <f>B28-B10</f>
        <v>0</v>
      </c>
      <c r="C29" t="s">
        <v>147</v>
      </c>
      <c r="D29" t="s">
        <v>153</v>
      </c>
    </row>
    <row r="31" spans="1:4">
      <c r="A31" t="s">
        <v>135</v>
      </c>
    </row>
    <row r="32" spans="1:4">
      <c r="A32" t="s">
        <v>136</v>
      </c>
      <c r="B32" t="s">
        <v>141</v>
      </c>
    </row>
    <row r="33" spans="1:2">
      <c r="A33" t="s">
        <v>137</v>
      </c>
      <c r="B33" t="s">
        <v>142</v>
      </c>
    </row>
    <row r="34" spans="1:2">
      <c r="A34" t="s">
        <v>138</v>
      </c>
      <c r="B34" t="s">
        <v>143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71"/>
  <sheetViews>
    <sheetView workbookViewId="0"/>
  </sheetViews>
  <sheetFormatPr defaultRowHeight="15"/>
  <cols>
    <col min="1" max="1" width="50.7109375" customWidth="1"/>
    <col min="2" max="2" width="46.7109375" customWidth="1"/>
    <col min="3" max="3" width="25.7109375" customWidth="1"/>
  </cols>
  <sheetData>
    <row r="1" spans="1:3">
      <c r="A1" t="s">
        <v>217</v>
      </c>
    </row>
    <row r="3" spans="1:3">
      <c r="A3" t="s">
        <v>155</v>
      </c>
    </row>
    <row r="5" spans="1:3">
      <c r="A5" t="s">
        <v>156</v>
      </c>
    </row>
    <row r="6" spans="1:3">
      <c r="A6" t="s">
        <v>157</v>
      </c>
    </row>
    <row r="7" spans="1:3">
      <c r="A7" t="s">
        <v>158</v>
      </c>
    </row>
    <row r="8" spans="1:3">
      <c r="A8" t="s">
        <v>159</v>
      </c>
    </row>
    <row r="10" spans="1:3">
      <c r="A10" t="s">
        <v>160</v>
      </c>
    </row>
    <row r="12" spans="1:3">
      <c r="A12" t="s">
        <v>161</v>
      </c>
    </row>
    <row r="14" spans="1:3">
      <c r="A14" t="s">
        <v>162</v>
      </c>
      <c r="B14" t="s">
        <v>204</v>
      </c>
      <c r="C14" t="s">
        <v>28</v>
      </c>
    </row>
    <row r="15" spans="1:3">
      <c r="A15" t="s">
        <v>163</v>
      </c>
      <c r="B15" t="s">
        <v>205</v>
      </c>
      <c r="C15" t="s">
        <v>211</v>
      </c>
    </row>
    <row r="16" spans="1:3">
      <c r="A16" t="s">
        <v>164</v>
      </c>
      <c r="B16" t="s">
        <v>206</v>
      </c>
      <c r="C16" t="s">
        <v>212</v>
      </c>
    </row>
    <row r="17" spans="1:3">
      <c r="A17" t="s">
        <v>165</v>
      </c>
      <c r="B17" t="s">
        <v>207</v>
      </c>
      <c r="C17" t="s">
        <v>213</v>
      </c>
    </row>
    <row r="18" spans="1:3">
      <c r="A18" t="s">
        <v>10</v>
      </c>
      <c r="B18" t="s">
        <v>208</v>
      </c>
      <c r="C18" t="s">
        <v>214</v>
      </c>
    </row>
    <row r="19" spans="1:3">
      <c r="A19" t="s">
        <v>166</v>
      </c>
      <c r="B19" t="s">
        <v>209</v>
      </c>
      <c r="C19" t="s">
        <v>215</v>
      </c>
    </row>
    <row r="20" spans="1:3">
      <c r="A20" t="s">
        <v>167</v>
      </c>
      <c r="B20" t="s">
        <v>210</v>
      </c>
      <c r="C20" t="s">
        <v>216</v>
      </c>
    </row>
    <row r="22" spans="1:3">
      <c r="A22" t="s">
        <v>168</v>
      </c>
    </row>
    <row r="24" spans="1:3">
      <c r="A24" t="s">
        <v>169</v>
      </c>
    </row>
    <row r="25" spans="1:3">
      <c r="A25" t="s">
        <v>170</v>
      </c>
    </row>
    <row r="26" spans="1:3">
      <c r="A26" t="s">
        <v>171</v>
      </c>
    </row>
    <row r="27" spans="1:3">
      <c r="A27" t="s">
        <v>172</v>
      </c>
    </row>
    <row r="29" spans="1:3">
      <c r="A29" t="s">
        <v>173</v>
      </c>
    </row>
    <row r="30" spans="1:3">
      <c r="A30" t="s">
        <v>174</v>
      </c>
    </row>
    <row r="32" spans="1:3">
      <c r="A32" t="s">
        <v>175</v>
      </c>
    </row>
    <row r="33" spans="1:1">
      <c r="A33" t="s">
        <v>176</v>
      </c>
    </row>
    <row r="35" spans="1:1">
      <c r="A35" t="s">
        <v>177</v>
      </c>
    </row>
    <row r="37" spans="1:1">
      <c r="A37" t="s">
        <v>178</v>
      </c>
    </row>
    <row r="38" spans="1:1">
      <c r="A38" t="s">
        <v>179</v>
      </c>
    </row>
    <row r="39" spans="1:1">
      <c r="A39" t="s">
        <v>180</v>
      </c>
    </row>
    <row r="40" spans="1:1">
      <c r="A40" t="s">
        <v>181</v>
      </c>
    </row>
    <row r="41" spans="1:1">
      <c r="A41" t="s">
        <v>182</v>
      </c>
    </row>
    <row r="42" spans="1:1">
      <c r="A42" t="s">
        <v>183</v>
      </c>
    </row>
    <row r="44" spans="1:1">
      <c r="A44" t="s">
        <v>184</v>
      </c>
    </row>
    <row r="46" spans="1:1">
      <c r="A46" t="s">
        <v>185</v>
      </c>
    </row>
    <row r="47" spans="1:1">
      <c r="A47" t="s">
        <v>186</v>
      </c>
    </row>
    <row r="48" spans="1:1">
      <c r="A48" t="s">
        <v>187</v>
      </c>
    </row>
    <row r="50" spans="1:1">
      <c r="A50" t="s">
        <v>188</v>
      </c>
    </row>
    <row r="51" spans="1:1">
      <c r="A51" t="s">
        <v>189</v>
      </c>
    </row>
    <row r="52" spans="1:1">
      <c r="A52" t="s">
        <v>190</v>
      </c>
    </row>
    <row r="53" spans="1:1">
      <c r="A53" t="s">
        <v>191</v>
      </c>
    </row>
    <row r="55" spans="1:1">
      <c r="A55" t="s">
        <v>192</v>
      </c>
    </row>
    <row r="57" spans="1:1">
      <c r="A57" t="s">
        <v>193</v>
      </c>
    </row>
    <row r="59" spans="1:1">
      <c r="A59" t="s">
        <v>194</v>
      </c>
    </row>
    <row r="60" spans="1:1">
      <c r="A60" t="s">
        <v>195</v>
      </c>
    </row>
    <row r="61" spans="1:1">
      <c r="A61" t="s">
        <v>196</v>
      </c>
    </row>
    <row r="62" spans="1:1">
      <c r="A62" t="s">
        <v>197</v>
      </c>
    </row>
    <row r="63" spans="1:1">
      <c r="A63" t="s">
        <v>198</v>
      </c>
    </row>
    <row r="65" spans="1:1">
      <c r="A65" t="s">
        <v>199</v>
      </c>
    </row>
    <row r="67" spans="1:1">
      <c r="A67" t="s">
        <v>200</v>
      </c>
    </row>
    <row r="69" spans="1:1">
      <c r="A69" t="s">
        <v>201</v>
      </c>
    </row>
    <row r="70" spans="1:1">
      <c r="A70" t="s">
        <v>202</v>
      </c>
    </row>
    <row r="71" spans="1:1">
      <c r="A71" t="s">
        <v>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Исходные данные</vt:lpstr>
      <vt:lpstr>Задание 1 - Goal Seek</vt:lpstr>
      <vt:lpstr>Задание 2 - Таблица данных</vt:lpstr>
      <vt:lpstr>Задание 3 - Сценарии</vt:lpstr>
      <vt:lpstr>Теория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2026-02-07T07:36:03Z</dcterms:created>
  <dcterms:modified xsi:type="dcterms:W3CDTF">2026-02-07T07:36:03Z</dcterms:modified>
</cp:coreProperties>
</file>